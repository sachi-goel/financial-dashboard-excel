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anya\OneDrive\Documents\"/>
    </mc:Choice>
  </mc:AlternateContent>
  <xr:revisionPtr revIDLastSave="0" documentId="13_ncr:1_{D41732F9-22AE-4370-81C0-034E8425AAAF}" xr6:coauthVersionLast="47" xr6:coauthVersionMax="47" xr10:uidLastSave="{00000000-0000-0000-0000-000000000000}"/>
  <bookViews>
    <workbookView xWindow="-110" yWindow="-110" windowWidth="19420" windowHeight="10300" activeTab="1" xr2:uid="{73F74C5B-1327-4FF6-B555-ACEADC2CDEEC}"/>
  </bookViews>
  <sheets>
    <sheet name="Data" sheetId="1" r:id="rId1"/>
    <sheet name="Dashboard" sheetId="3" r:id="rId2"/>
  </sheets>
  <definedNames>
    <definedName name="Slicer_Category">#N/A</definedName>
    <definedName name="Slicer_Type">#N/A</definedName>
  </definedNames>
  <calcPr calcId="191029"/>
  <pivotCaches>
    <pivotCache cacheId="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9" i="3" l="1"/>
  <c r="D19" i="3"/>
  <c r="C19" i="3"/>
  <c r="B19" i="3"/>
  <c r="B10" i="1"/>
  <c r="B11" i="1"/>
  <c r="F3" i="1"/>
  <c r="F4" i="1"/>
  <c r="F5" i="1"/>
  <c r="F6" i="1"/>
  <c r="F7" i="1"/>
  <c r="F8" i="1"/>
  <c r="F2" i="1"/>
  <c r="B12" i="1" l="1"/>
</calcChain>
</file>

<file path=xl/sharedStrings.xml><?xml version="1.0" encoding="utf-8"?>
<sst xmlns="http://schemas.openxmlformats.org/spreadsheetml/2006/main" count="41" uniqueCount="26">
  <si>
    <t>Date</t>
  </si>
  <si>
    <t>Category</t>
  </si>
  <si>
    <t>Amount</t>
  </si>
  <si>
    <t>Type</t>
  </si>
  <si>
    <t>Budget</t>
  </si>
  <si>
    <t>Salary</t>
  </si>
  <si>
    <t>Rent</t>
  </si>
  <si>
    <t>Groceries</t>
  </si>
  <si>
    <t>Transport</t>
  </si>
  <si>
    <t>Dining</t>
  </si>
  <si>
    <t>Freelance</t>
  </si>
  <si>
    <t>Shopping</t>
  </si>
  <si>
    <t>Income</t>
  </si>
  <si>
    <t>Expense</t>
  </si>
  <si>
    <t>Varience</t>
  </si>
  <si>
    <t>Total Income</t>
  </si>
  <si>
    <t>Total Expenses</t>
  </si>
  <si>
    <t>Savings</t>
  </si>
  <si>
    <t>Key Insights:</t>
  </si>
  <si>
    <t>• Highest expense: Rent</t>
  </si>
  <si>
    <t>• Overspending in Shopping (+50)</t>
  </si>
  <si>
    <t>• Good savings maintained</t>
  </si>
  <si>
    <t>Sum of Amount</t>
  </si>
  <si>
    <t>Row Labels</t>
  </si>
  <si>
    <t>Grand Total</t>
  </si>
  <si>
    <t>Savings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</si>
</sst>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_-&quot;$&quot;* #,##0_-;\-&quot;$&quot;* #,##0_-;_-&quot;$&quot;*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3" tint="0.89999084444715716"/>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0" fontId="0" fillId="0" borderId="0" xfId="0" applyAlignment="1">
      <alignment horizontal="center"/>
    </xf>
    <xf numFmtId="0" fontId="2" fillId="2" borderId="1" xfId="0" applyFont="1" applyFill="1" applyBorder="1" applyAlignment="1">
      <alignment horizontal="center"/>
    </xf>
    <xf numFmtId="0" fontId="0" fillId="3" borderId="1" xfId="0" applyFill="1" applyBorder="1" applyAlignment="1">
      <alignment horizontal="center"/>
    </xf>
    <xf numFmtId="44" fontId="0" fillId="3" borderId="1" xfId="1" applyFont="1" applyFill="1" applyBorder="1" applyAlignment="1">
      <alignment horizontal="center"/>
    </xf>
    <xf numFmtId="16" fontId="0" fillId="3" borderId="2" xfId="0" applyNumberFormat="1" applyFill="1" applyBorder="1" applyAlignment="1">
      <alignment horizontal="center"/>
    </xf>
    <xf numFmtId="164" fontId="0" fillId="3" borderId="3" xfId="1" applyNumberFormat="1" applyFont="1" applyFill="1" applyBorder="1"/>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16" fontId="0" fillId="3" borderId="7" xfId="0" applyNumberFormat="1" applyFill="1" applyBorder="1" applyAlignment="1">
      <alignment horizontal="center"/>
    </xf>
    <xf numFmtId="0" fontId="0" fillId="3" borderId="8" xfId="0" applyFill="1" applyBorder="1" applyAlignment="1">
      <alignment horizontal="center"/>
    </xf>
    <xf numFmtId="164" fontId="0" fillId="3" borderId="9" xfId="1" applyNumberFormat="1" applyFont="1" applyFill="1" applyBorder="1"/>
    <xf numFmtId="0" fontId="0" fillId="0" borderId="0" xfId="0" pivotButton="1"/>
    <xf numFmtId="0" fontId="0" fillId="0" borderId="0" xfId="0" applyAlignment="1">
      <alignment horizontal="left"/>
    </xf>
    <xf numFmtId="0" fontId="0" fillId="0" borderId="0" xfId="0" applyNumberFormat="1"/>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44" fontId="0" fillId="0" borderId="13" xfId="0" applyNumberFormat="1" applyBorder="1" applyAlignment="1">
      <alignment horizontal="center"/>
    </xf>
    <xf numFmtId="44" fontId="0" fillId="0" borderId="14" xfId="0" applyNumberFormat="1" applyBorder="1" applyAlignment="1">
      <alignment horizontal="center"/>
    </xf>
    <xf numFmtId="9" fontId="0" fillId="0" borderId="15" xfId="2" applyFont="1" applyBorder="1" applyAlignment="1">
      <alignment horizontal="center"/>
    </xf>
  </cellXfs>
  <cellStyles count="3">
    <cellStyle name="Currency" xfId="1" builtinId="4"/>
    <cellStyle name="Normal" xfId="0" builtinId="0"/>
    <cellStyle name="Percent" xfId="2" builtinId="5"/>
  </cellStyles>
  <dxfs count="1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theme="1"/>
        <name val="Aptos Narrow"/>
        <family val="2"/>
        <scheme val="minor"/>
      </font>
      <numFmt numFmtId="164" formatCode="_-&quot;$&quot;* #,##0_-;\-&quot;$&quot;* #,##0_-;_-&quot;$&quot;* &quot;-&quot;??_-;_-@_-"/>
      <fill>
        <patternFill patternType="solid">
          <fgColor indexed="64"/>
          <bgColor theme="3" tint="0.89999084444715716"/>
        </patternFill>
      </fill>
      <border diagonalUp="0" diagonalDown="0">
        <left style="thin">
          <color indexed="64"/>
        </left>
        <right/>
        <top style="thin">
          <color indexed="64"/>
        </top>
        <bottom style="thin">
          <color indexed="64"/>
        </bottom>
        <vertical/>
        <horizontal/>
      </border>
    </dxf>
    <dxf>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1" formatCode="dd/mmm"/>
      <fill>
        <patternFill patternType="solid">
          <fgColor indexed="64"/>
          <bgColor theme="3" tint="0.89999084444715716"/>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3" tint="0.89999084444715716"/>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Expenses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Data!$D$1</c:f>
              <c:strCache>
                <c:ptCount val="1"/>
                <c:pt idx="0">
                  <c:v>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678-4DF3-B4F2-0EAA4245CC2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678-4DF3-B4F2-0EAA4245CC2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678-4DF3-B4F2-0EAA4245CC2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678-4DF3-B4F2-0EAA4245CC2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678-4DF3-B4F2-0EAA4245CC2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678-4DF3-B4F2-0EAA4245CC2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F678-4DF3-B4F2-0EAA4245CC26}"/>
              </c:ext>
            </c:extLst>
          </c:dPt>
          <c:cat>
            <c:multiLvlStrRef>
              <c:f>Data!$B$2:$C$8</c:f>
              <c:multiLvlStrCache>
                <c:ptCount val="7"/>
                <c:lvl>
                  <c:pt idx="0">
                    <c:v>Income</c:v>
                  </c:pt>
                  <c:pt idx="1">
                    <c:v>Expense</c:v>
                  </c:pt>
                  <c:pt idx="2">
                    <c:v>Expense</c:v>
                  </c:pt>
                  <c:pt idx="3">
                    <c:v>Expense</c:v>
                  </c:pt>
                  <c:pt idx="4">
                    <c:v>Expense</c:v>
                  </c:pt>
                  <c:pt idx="5">
                    <c:v>Income</c:v>
                  </c:pt>
                  <c:pt idx="6">
                    <c:v>Expense</c:v>
                  </c:pt>
                </c:lvl>
                <c:lvl>
                  <c:pt idx="0">
                    <c:v>Salary</c:v>
                  </c:pt>
                  <c:pt idx="1">
                    <c:v>Rent</c:v>
                  </c:pt>
                  <c:pt idx="2">
                    <c:v>Groceries</c:v>
                  </c:pt>
                  <c:pt idx="3">
                    <c:v>Transport</c:v>
                  </c:pt>
                  <c:pt idx="4">
                    <c:v>Dining</c:v>
                  </c:pt>
                  <c:pt idx="5">
                    <c:v>Freelance</c:v>
                  </c:pt>
                  <c:pt idx="6">
                    <c:v>Shopping</c:v>
                  </c:pt>
                </c:lvl>
              </c:multiLvlStrCache>
            </c:multiLvlStrRef>
          </c:cat>
          <c:val>
            <c:numRef>
              <c:f>Data!$D$2:$D$8</c:f>
              <c:numCache>
                <c:formatCode>General</c:formatCode>
                <c:ptCount val="7"/>
                <c:pt idx="0">
                  <c:v>2000</c:v>
                </c:pt>
                <c:pt idx="1">
                  <c:v>800</c:v>
                </c:pt>
                <c:pt idx="2">
                  <c:v>120</c:v>
                </c:pt>
                <c:pt idx="3">
                  <c:v>60</c:v>
                </c:pt>
                <c:pt idx="4">
                  <c:v>90</c:v>
                </c:pt>
                <c:pt idx="5">
                  <c:v>300</c:v>
                </c:pt>
                <c:pt idx="6">
                  <c:v>150</c:v>
                </c:pt>
              </c:numCache>
            </c:numRef>
          </c:val>
          <c:extLst>
            <c:ext xmlns:c16="http://schemas.microsoft.com/office/drawing/2014/chart" uri="{C3380CC4-5D6E-409C-BE32-E72D297353CC}">
              <c16:uniqueId val="{00000000-5A5F-4718-A2ED-946961D5CC7D}"/>
            </c:ext>
          </c:extLst>
        </c:ser>
        <c:ser>
          <c:idx val="1"/>
          <c:order val="1"/>
          <c:tx>
            <c:strRef>
              <c:f>Data!$E$1</c:f>
              <c:strCache>
                <c:ptCount val="1"/>
                <c:pt idx="0">
                  <c:v>Budget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F-F678-4DF3-B4F2-0EAA4245CC2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1-F678-4DF3-B4F2-0EAA4245CC2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3-F678-4DF3-B4F2-0EAA4245CC2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5-F678-4DF3-B4F2-0EAA4245CC2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7-F678-4DF3-B4F2-0EAA4245CC2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9-F678-4DF3-B4F2-0EAA4245CC2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F678-4DF3-B4F2-0EAA4245CC26}"/>
              </c:ext>
            </c:extLst>
          </c:dPt>
          <c:cat>
            <c:multiLvlStrRef>
              <c:f>Data!$B$2:$C$8</c:f>
              <c:multiLvlStrCache>
                <c:ptCount val="7"/>
                <c:lvl>
                  <c:pt idx="0">
                    <c:v>Income</c:v>
                  </c:pt>
                  <c:pt idx="1">
                    <c:v>Expense</c:v>
                  </c:pt>
                  <c:pt idx="2">
                    <c:v>Expense</c:v>
                  </c:pt>
                  <c:pt idx="3">
                    <c:v>Expense</c:v>
                  </c:pt>
                  <c:pt idx="4">
                    <c:v>Expense</c:v>
                  </c:pt>
                  <c:pt idx="5">
                    <c:v>Income</c:v>
                  </c:pt>
                  <c:pt idx="6">
                    <c:v>Expense</c:v>
                  </c:pt>
                </c:lvl>
                <c:lvl>
                  <c:pt idx="0">
                    <c:v>Salary</c:v>
                  </c:pt>
                  <c:pt idx="1">
                    <c:v>Rent</c:v>
                  </c:pt>
                  <c:pt idx="2">
                    <c:v>Groceries</c:v>
                  </c:pt>
                  <c:pt idx="3">
                    <c:v>Transport</c:v>
                  </c:pt>
                  <c:pt idx="4">
                    <c:v>Dining</c:v>
                  </c:pt>
                  <c:pt idx="5">
                    <c:v>Freelance</c:v>
                  </c:pt>
                  <c:pt idx="6">
                    <c:v>Shopping</c:v>
                  </c:pt>
                </c:lvl>
              </c:multiLvlStrCache>
            </c:multiLvlStrRef>
          </c:cat>
          <c:val>
            <c:numRef>
              <c:f>Data!$E$2:$E$8</c:f>
              <c:numCache>
                <c:formatCode>General</c:formatCode>
                <c:ptCount val="7"/>
                <c:pt idx="0">
                  <c:v>2000</c:v>
                </c:pt>
                <c:pt idx="1">
                  <c:v>800</c:v>
                </c:pt>
                <c:pt idx="2">
                  <c:v>100</c:v>
                </c:pt>
                <c:pt idx="3">
                  <c:v>80</c:v>
                </c:pt>
                <c:pt idx="4">
                  <c:v>70</c:v>
                </c:pt>
                <c:pt idx="5">
                  <c:v>300</c:v>
                </c:pt>
                <c:pt idx="6">
                  <c:v>100</c:v>
                </c:pt>
              </c:numCache>
            </c:numRef>
          </c:val>
          <c:extLst>
            <c:ext xmlns:c16="http://schemas.microsoft.com/office/drawing/2014/chart" uri="{C3380CC4-5D6E-409C-BE32-E72D297353CC}">
              <c16:uniqueId val="{00000001-5A5F-4718-A2ED-946961D5CC7D}"/>
            </c:ext>
          </c:extLst>
        </c:ser>
        <c:ser>
          <c:idx val="2"/>
          <c:order val="2"/>
          <c:tx>
            <c:strRef>
              <c:f>Data!$F$1</c:f>
              <c:strCache>
                <c:ptCount val="1"/>
                <c:pt idx="0">
                  <c:v>Varience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D-F678-4DF3-B4F2-0EAA4245CC2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F-F678-4DF3-B4F2-0EAA4245CC2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1-F678-4DF3-B4F2-0EAA4245CC2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3-F678-4DF3-B4F2-0EAA4245CC2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5-F678-4DF3-B4F2-0EAA4245CC2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7-F678-4DF3-B4F2-0EAA4245CC2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F678-4DF3-B4F2-0EAA4245CC26}"/>
              </c:ext>
            </c:extLst>
          </c:dPt>
          <c:cat>
            <c:multiLvlStrRef>
              <c:f>Data!$B$2:$C$8</c:f>
              <c:multiLvlStrCache>
                <c:ptCount val="7"/>
                <c:lvl>
                  <c:pt idx="0">
                    <c:v>Income</c:v>
                  </c:pt>
                  <c:pt idx="1">
                    <c:v>Expense</c:v>
                  </c:pt>
                  <c:pt idx="2">
                    <c:v>Expense</c:v>
                  </c:pt>
                  <c:pt idx="3">
                    <c:v>Expense</c:v>
                  </c:pt>
                  <c:pt idx="4">
                    <c:v>Expense</c:v>
                  </c:pt>
                  <c:pt idx="5">
                    <c:v>Income</c:v>
                  </c:pt>
                  <c:pt idx="6">
                    <c:v>Expense</c:v>
                  </c:pt>
                </c:lvl>
                <c:lvl>
                  <c:pt idx="0">
                    <c:v>Salary</c:v>
                  </c:pt>
                  <c:pt idx="1">
                    <c:v>Rent</c:v>
                  </c:pt>
                  <c:pt idx="2">
                    <c:v>Groceries</c:v>
                  </c:pt>
                  <c:pt idx="3">
                    <c:v>Transport</c:v>
                  </c:pt>
                  <c:pt idx="4">
                    <c:v>Dining</c:v>
                  </c:pt>
                  <c:pt idx="5">
                    <c:v>Freelance</c:v>
                  </c:pt>
                  <c:pt idx="6">
                    <c:v>Shopping</c:v>
                  </c:pt>
                </c:lvl>
              </c:multiLvlStrCache>
            </c:multiLvlStrRef>
          </c:cat>
          <c:val>
            <c:numRef>
              <c:f>Data!$F$2:$F$8</c:f>
              <c:numCache>
                <c:formatCode>_-"$"* #,##0_-;\-"$"* #,##0_-;_-"$"* "-"??_-;_-@_-</c:formatCode>
                <c:ptCount val="7"/>
                <c:pt idx="0">
                  <c:v>0</c:v>
                </c:pt>
                <c:pt idx="1">
                  <c:v>0</c:v>
                </c:pt>
                <c:pt idx="2">
                  <c:v>20</c:v>
                </c:pt>
                <c:pt idx="3">
                  <c:v>-20</c:v>
                </c:pt>
                <c:pt idx="4">
                  <c:v>20</c:v>
                </c:pt>
                <c:pt idx="5">
                  <c:v>0</c:v>
                </c:pt>
                <c:pt idx="6">
                  <c:v>50</c:v>
                </c:pt>
              </c:numCache>
            </c:numRef>
          </c:val>
          <c:extLst>
            <c:ext xmlns:c16="http://schemas.microsoft.com/office/drawing/2014/chart" uri="{C3380CC4-5D6E-409C-BE32-E72D297353CC}">
              <c16:uniqueId val="{00000002-5A5F-4718-A2ED-946961D5CC7D}"/>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50800" dir="5400000" sx="1000" sy="1000" algn="ctr" rotWithShape="0">
                  <a:srgbClr val="000000"/>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[Financial-Dashboard-Excel.xlsx]Dashboard!PivotTable1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Expenses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Dashboard!$B$5</c:f>
              <c:strCache>
                <c:ptCount val="1"/>
                <c:pt idx="0">
                  <c:v>Total</c:v>
                </c:pt>
              </c:strCache>
            </c:strRef>
          </c:tx>
          <c:spPr>
            <a:solidFill>
              <a:schemeClr val="accent1"/>
            </a:solidFill>
            <a:ln>
              <a:noFill/>
            </a:ln>
            <a:effectLst/>
            <a:sp3d/>
          </c:spPr>
          <c:invertIfNegative val="0"/>
          <c:cat>
            <c:strRef>
              <c:f>Dashboard!$A$6:$A$11</c:f>
              <c:strCache>
                <c:ptCount val="5"/>
                <c:pt idx="0">
                  <c:v>Dining</c:v>
                </c:pt>
                <c:pt idx="1">
                  <c:v>Groceries</c:v>
                </c:pt>
                <c:pt idx="2">
                  <c:v>Rent</c:v>
                </c:pt>
                <c:pt idx="3">
                  <c:v>Shopping</c:v>
                </c:pt>
                <c:pt idx="4">
                  <c:v>Transport</c:v>
                </c:pt>
              </c:strCache>
            </c:strRef>
          </c:cat>
          <c:val>
            <c:numRef>
              <c:f>Dashboard!$B$6:$B$11</c:f>
              <c:numCache>
                <c:formatCode>General</c:formatCode>
                <c:ptCount val="5"/>
                <c:pt idx="0">
                  <c:v>90</c:v>
                </c:pt>
                <c:pt idx="1">
                  <c:v>120</c:v>
                </c:pt>
                <c:pt idx="2">
                  <c:v>800</c:v>
                </c:pt>
                <c:pt idx="3">
                  <c:v>150</c:v>
                </c:pt>
                <c:pt idx="4">
                  <c:v>60</c:v>
                </c:pt>
              </c:numCache>
            </c:numRef>
          </c:val>
          <c:extLst>
            <c:ext xmlns:c16="http://schemas.microsoft.com/office/drawing/2014/chart" uri="{C3380CC4-5D6E-409C-BE32-E72D297353CC}">
              <c16:uniqueId val="{00000000-536E-4E5A-96E8-079C77824C46}"/>
            </c:ext>
          </c:extLst>
        </c:ser>
        <c:dLbls>
          <c:showLegendKey val="0"/>
          <c:showVal val="0"/>
          <c:showCatName val="0"/>
          <c:showSerName val="0"/>
          <c:showPercent val="0"/>
          <c:showBubbleSize val="0"/>
        </c:dLbls>
        <c:gapWidth val="150"/>
        <c:shape val="box"/>
        <c:axId val="1319806527"/>
        <c:axId val="1319805567"/>
        <c:axId val="0"/>
      </c:bar3DChart>
      <c:catAx>
        <c:axId val="1319806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805567"/>
        <c:crosses val="autoZero"/>
        <c:auto val="1"/>
        <c:lblAlgn val="ctr"/>
        <c:lblOffset val="100"/>
        <c:noMultiLvlLbl val="0"/>
      </c:catAx>
      <c:valAx>
        <c:axId val="131980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80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333375</xdr:colOff>
      <xdr:row>2</xdr:row>
      <xdr:rowOff>69850</xdr:rowOff>
    </xdr:from>
    <xdr:to>
      <xdr:col>14</xdr:col>
      <xdr:colOff>28575</xdr:colOff>
      <xdr:row>17</xdr:row>
      <xdr:rowOff>50800</xdr:rowOff>
    </xdr:to>
    <xdr:graphicFrame macro="">
      <xdr:nvGraphicFramePr>
        <xdr:cNvPr id="3" name="Chart 2">
          <a:extLst>
            <a:ext uri="{FF2B5EF4-FFF2-40B4-BE49-F238E27FC236}">
              <a16:creationId xmlns:a16="http://schemas.microsoft.com/office/drawing/2014/main" id="{56EDC545-824B-ADED-AA59-59158CB278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336145</xdr:colOff>
      <xdr:row>1</xdr:row>
      <xdr:rowOff>103492</xdr:rowOff>
    </xdr:from>
    <xdr:to>
      <xdr:col>3</xdr:col>
      <xdr:colOff>913590</xdr:colOff>
      <xdr:row>14</xdr:row>
      <xdr:rowOff>40532</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A3DF9A5A-84FB-6182-F41F-406A3D30425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403273" y="285886"/>
              <a:ext cx="1827179" cy="2308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81336</xdr:colOff>
      <xdr:row>1</xdr:row>
      <xdr:rowOff>118622</xdr:rowOff>
    </xdr:from>
    <xdr:to>
      <xdr:col>6</xdr:col>
      <xdr:colOff>454499</xdr:colOff>
      <xdr:row>7</xdr:row>
      <xdr:rowOff>118623</xdr:rowOff>
    </xdr:to>
    <mc:AlternateContent xmlns:mc="http://schemas.openxmlformats.org/markup-compatibility/2006">
      <mc:Choice xmlns:a14="http://schemas.microsoft.com/office/drawing/2010/main" Requires="a14">
        <xdr:graphicFrame macro="">
          <xdr:nvGraphicFramePr>
            <xdr:cNvPr id="4" name="Type">
              <a:extLst>
                <a:ext uri="{FF2B5EF4-FFF2-40B4-BE49-F238E27FC236}">
                  <a16:creationId xmlns:a16="http://schemas.microsoft.com/office/drawing/2014/main" id="{7F4B3AE3-0745-22D0-AD11-57232B2BA1BC}"/>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4425006" y="301016"/>
              <a:ext cx="1825557" cy="1094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64848</xdr:colOff>
      <xdr:row>1</xdr:row>
      <xdr:rowOff>121596</xdr:rowOff>
    </xdr:from>
    <xdr:to>
      <xdr:col>15</xdr:col>
      <xdr:colOff>405319</xdr:colOff>
      <xdr:row>17</xdr:row>
      <xdr:rowOff>47288</xdr:rowOff>
    </xdr:to>
    <xdr:graphicFrame macro="">
      <xdr:nvGraphicFramePr>
        <xdr:cNvPr id="5" name="Chart 4">
          <a:extLst>
            <a:ext uri="{FF2B5EF4-FFF2-40B4-BE49-F238E27FC236}">
              <a16:creationId xmlns:a16="http://schemas.microsoft.com/office/drawing/2014/main" id="{604A5D5F-63F1-DABE-EBD8-4C60763B4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nya Goel" refreshedDate="46141.904708217589" createdVersion="8" refreshedVersion="8" minRefreshableVersion="3" recordCount="7" xr:uid="{450B4595-E2E8-47FC-9BC0-6FD93E81D326}">
  <cacheSource type="worksheet">
    <worksheetSource name="Table2"/>
  </cacheSource>
  <cacheFields count="6">
    <cacheField name="Date" numFmtId="16">
      <sharedItems containsSemiMixedTypes="0" containsNonDate="0" containsDate="1" containsString="0" minDate="1900-01-04T00:00:00" maxDate="2026-01-04T00:00:00" count="7">
        <d v="2026-01-01T00:00:00"/>
        <d v="2026-01-02T00:00:00"/>
        <d v="2026-01-03T00:00:00"/>
        <d v="1900-01-04T00:00:00"/>
        <d v="1900-01-07T00:00:00"/>
        <d v="1900-01-09T00:00:00"/>
        <d v="1900-01-11T00:00:00"/>
      </sharedItems>
    </cacheField>
    <cacheField name="Category" numFmtId="0">
      <sharedItems count="7">
        <s v="Salary"/>
        <s v="Rent"/>
        <s v="Groceries"/>
        <s v="Transport"/>
        <s v="Dining"/>
        <s v="Freelance"/>
        <s v="Shopping"/>
      </sharedItems>
    </cacheField>
    <cacheField name="Type" numFmtId="0">
      <sharedItems count="2">
        <s v="Income"/>
        <s v="Expense"/>
      </sharedItems>
    </cacheField>
    <cacheField name="Amount" numFmtId="0">
      <sharedItems containsSemiMixedTypes="0" containsString="0" containsNumber="1" containsInteger="1" minValue="60" maxValue="2000" count="7">
        <n v="2000"/>
        <n v="800"/>
        <n v="120"/>
        <n v="60"/>
        <n v="90"/>
        <n v="300"/>
        <n v="150"/>
      </sharedItems>
    </cacheField>
    <cacheField name="Budget" numFmtId="0">
      <sharedItems containsSemiMixedTypes="0" containsString="0" containsNumber="1" containsInteger="1" minValue="70" maxValue="2000"/>
    </cacheField>
    <cacheField name="Varience" numFmtId="164">
      <sharedItems containsSemiMixedTypes="0" containsString="0" containsNumber="1" containsInteger="1" minValue="-20" maxValue="50"/>
    </cacheField>
  </cacheFields>
  <extLst>
    <ext xmlns:x14="http://schemas.microsoft.com/office/spreadsheetml/2009/9/main" uri="{725AE2AE-9491-48be-B2B4-4EB974FC3084}">
      <x14:pivotCacheDefinition pivotCacheId="1243191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n v="2000"/>
    <n v="0"/>
  </r>
  <r>
    <x v="1"/>
    <x v="1"/>
    <x v="1"/>
    <x v="1"/>
    <n v="800"/>
    <n v="0"/>
  </r>
  <r>
    <x v="2"/>
    <x v="2"/>
    <x v="1"/>
    <x v="2"/>
    <n v="100"/>
    <n v="20"/>
  </r>
  <r>
    <x v="3"/>
    <x v="3"/>
    <x v="1"/>
    <x v="3"/>
    <n v="80"/>
    <n v="-20"/>
  </r>
  <r>
    <x v="4"/>
    <x v="4"/>
    <x v="1"/>
    <x v="4"/>
    <n v="70"/>
    <n v="20"/>
  </r>
  <r>
    <x v="5"/>
    <x v="5"/>
    <x v="0"/>
    <x v="5"/>
    <n v="300"/>
    <n v="0"/>
  </r>
  <r>
    <x v="6"/>
    <x v="6"/>
    <x v="1"/>
    <x v="6"/>
    <n v="100"/>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1AA425-D593-40DC-B9A9-3E4697ABC59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5:B11" firstHeaderRow="1" firstDataRow="1" firstDataCol="1" rowPageCount="1" colPageCount="1"/>
  <pivotFields count="6">
    <pivotField numFmtId="16" showAll="0">
      <items count="8">
        <item x="3"/>
        <item x="4"/>
        <item x="5"/>
        <item x="6"/>
        <item x="0"/>
        <item x="1"/>
        <item x="2"/>
        <item t="default"/>
      </items>
    </pivotField>
    <pivotField axis="axisRow" multipleItemSelectionAllowed="1" showAll="0">
      <items count="8">
        <item x="4"/>
        <item x="5"/>
        <item x="2"/>
        <item x="1"/>
        <item x="0"/>
        <item x="6"/>
        <item x="3"/>
        <item t="default"/>
      </items>
    </pivotField>
    <pivotField axis="axisPage" multipleItemSelectionAllowed="1" showAll="0">
      <items count="3">
        <item x="1"/>
        <item h="1" x="0"/>
        <item t="default"/>
      </items>
    </pivotField>
    <pivotField dataField="1" multipleItemSelectionAllowed="1" showAll="0">
      <items count="8">
        <item x="3"/>
        <item x="4"/>
        <item x="2"/>
        <item x="6"/>
        <item x="5"/>
        <item x="1"/>
        <item x="0"/>
        <item t="default"/>
      </items>
    </pivotField>
    <pivotField showAll="0"/>
    <pivotField numFmtId="164" showAll="0"/>
  </pivotFields>
  <rowFields count="1">
    <field x="1"/>
  </rowFields>
  <rowItems count="6">
    <i>
      <x/>
    </i>
    <i>
      <x v="2"/>
    </i>
    <i>
      <x v="3"/>
    </i>
    <i>
      <x v="5"/>
    </i>
    <i>
      <x v="6"/>
    </i>
    <i t="grand">
      <x/>
    </i>
  </rowItems>
  <colItems count="1">
    <i/>
  </colItems>
  <pageFields count="1">
    <pageField fld="2" hier="-1"/>
  </pageFields>
  <dataFields count="1">
    <dataField name="Sum of Amount" fld="3" baseField="0" baseItem="0"/>
  </dataFields>
  <chartFormats count="2">
    <chartFormat chart="0"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354B905-E6C2-46C7-B9F9-6EAA226BD92A}" sourceName="Category">
  <pivotTables>
    <pivotTable tabId="3" name="PivotTable1"/>
  </pivotTables>
  <data>
    <tabular pivotCacheId="1243191006">
      <items count="7">
        <i x="4" s="1"/>
        <i x="2" s="1"/>
        <i x="1" s="1"/>
        <i x="6" s="1"/>
        <i x="3" s="1"/>
        <i x="5"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DDA78B96-A1C7-468E-8328-50DCB4E8C2A7}" sourceName="Type">
  <pivotTables>
    <pivotTable tabId="3" name="PivotTable1"/>
  </pivotTables>
  <data>
    <tabular pivotCacheId="1243191006">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30E40FC-F5DB-4C81-8868-3C93ED6B2666}" cache="Slicer_Category" caption="Category" rowHeight="251883"/>
  <slicer name="Type" xr10:uid="{0B2FFCCB-7BC4-4058-BF62-19ED2D54D842}" cache="Slicer_Type" caption="Typ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7A8557-3AF7-4CA6-A2FC-67A96AA557D7}" name="Table2" displayName="Table2" ref="A1:F8" totalsRowShown="0" headerRowDxfId="15" dataDxfId="13" headerRowBorderDxfId="14" tableBorderDxfId="12" totalsRowBorderDxfId="11">
  <autoFilter ref="A1:F8" xr:uid="{057A8557-3AF7-4CA6-A2FC-67A96AA557D7}"/>
  <tableColumns count="6">
    <tableColumn id="1" xr3:uid="{BED941CC-7F3C-43E5-A9DE-78026E3F500F}" name="Date" dataDxfId="10"/>
    <tableColumn id="2" xr3:uid="{01A2584A-A9DA-4DFE-9D1B-988C4B1C5F84}" name="Category" dataDxfId="9"/>
    <tableColumn id="3" xr3:uid="{67D090FC-8ABB-42F0-AE44-88AADD93C65A}" name="Type" dataDxfId="8"/>
    <tableColumn id="4" xr3:uid="{A4D122BA-4953-472C-BA98-230B413D9792}" name="Amount" dataDxfId="7"/>
    <tableColumn id="5" xr3:uid="{C73BDDF9-DE80-42AE-8E12-815F504F4833}" name="Budget" dataDxfId="6"/>
    <tableColumn id="6" xr3:uid="{A17AA8D9-C8D9-4371-A166-259628CE5C66}" name="Varience" dataDxfId="5" dataCellStyle="Currency">
      <calculatedColumnFormula>D2-E2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DE6B4-E5DB-45CF-89A7-8934FCAA449B}">
  <dimension ref="A1:F17"/>
  <sheetViews>
    <sheetView workbookViewId="0">
      <selection activeCell="D14" sqref="D14"/>
    </sheetView>
  </sheetViews>
  <sheetFormatPr defaultRowHeight="14.5" x14ac:dyDescent="0.35"/>
  <cols>
    <col min="1" max="1" width="14.36328125" customWidth="1"/>
    <col min="2" max="2" width="14.1796875" customWidth="1"/>
    <col min="3" max="3" width="14.26953125" customWidth="1"/>
    <col min="4" max="4" width="13.6328125" customWidth="1"/>
    <col min="5" max="5" width="15" customWidth="1"/>
    <col min="6" max="6" width="14.1796875" customWidth="1"/>
  </cols>
  <sheetData>
    <row r="1" spans="1:6" x14ac:dyDescent="0.35">
      <c r="A1" s="7" t="s">
        <v>0</v>
      </c>
      <c r="B1" s="8" t="s">
        <v>1</v>
      </c>
      <c r="C1" s="8" t="s">
        <v>3</v>
      </c>
      <c r="D1" s="8" t="s">
        <v>2</v>
      </c>
      <c r="E1" s="8" t="s">
        <v>4</v>
      </c>
      <c r="F1" s="9" t="s">
        <v>14</v>
      </c>
    </row>
    <row r="2" spans="1:6" x14ac:dyDescent="0.35">
      <c r="A2" s="5">
        <v>46023</v>
      </c>
      <c r="B2" s="3" t="s">
        <v>5</v>
      </c>
      <c r="C2" s="3" t="s">
        <v>12</v>
      </c>
      <c r="D2" s="3">
        <v>2000</v>
      </c>
      <c r="E2" s="3">
        <v>2000</v>
      </c>
      <c r="F2" s="6">
        <f>D2-E2</f>
        <v>0</v>
      </c>
    </row>
    <row r="3" spans="1:6" x14ac:dyDescent="0.35">
      <c r="A3" s="5">
        <v>46024</v>
      </c>
      <c r="B3" s="3" t="s">
        <v>6</v>
      </c>
      <c r="C3" s="3" t="s">
        <v>13</v>
      </c>
      <c r="D3" s="3">
        <v>800</v>
      </c>
      <c r="E3" s="3">
        <v>800</v>
      </c>
      <c r="F3" s="6">
        <f t="shared" ref="F3:F8" si="0">D3-E3</f>
        <v>0</v>
      </c>
    </row>
    <row r="4" spans="1:6" x14ac:dyDescent="0.35">
      <c r="A4" s="5">
        <v>46025</v>
      </c>
      <c r="B4" s="3" t="s">
        <v>7</v>
      </c>
      <c r="C4" s="3" t="s">
        <v>13</v>
      </c>
      <c r="D4" s="3">
        <v>120</v>
      </c>
      <c r="E4" s="3">
        <v>100</v>
      </c>
      <c r="F4" s="6">
        <f t="shared" si="0"/>
        <v>20</v>
      </c>
    </row>
    <row r="5" spans="1:6" x14ac:dyDescent="0.35">
      <c r="A5" s="5">
        <v>5</v>
      </c>
      <c r="B5" s="3" t="s">
        <v>8</v>
      </c>
      <c r="C5" s="3" t="s">
        <v>13</v>
      </c>
      <c r="D5" s="3">
        <v>60</v>
      </c>
      <c r="E5" s="3">
        <v>80</v>
      </c>
      <c r="F5" s="6">
        <f t="shared" si="0"/>
        <v>-20</v>
      </c>
    </row>
    <row r="6" spans="1:6" x14ac:dyDescent="0.35">
      <c r="A6" s="5">
        <v>8</v>
      </c>
      <c r="B6" s="3" t="s">
        <v>9</v>
      </c>
      <c r="C6" s="3" t="s">
        <v>13</v>
      </c>
      <c r="D6" s="3">
        <v>90</v>
      </c>
      <c r="E6" s="3">
        <v>70</v>
      </c>
      <c r="F6" s="6">
        <f t="shared" si="0"/>
        <v>20</v>
      </c>
    </row>
    <row r="7" spans="1:6" x14ac:dyDescent="0.35">
      <c r="A7" s="5">
        <v>10</v>
      </c>
      <c r="B7" s="3" t="s">
        <v>10</v>
      </c>
      <c r="C7" s="3" t="s">
        <v>12</v>
      </c>
      <c r="D7" s="3">
        <v>300</v>
      </c>
      <c r="E7" s="3">
        <v>300</v>
      </c>
      <c r="F7" s="6">
        <f t="shared" si="0"/>
        <v>0</v>
      </c>
    </row>
    <row r="8" spans="1:6" x14ac:dyDescent="0.35">
      <c r="A8" s="10">
        <v>12</v>
      </c>
      <c r="B8" s="11" t="s">
        <v>11</v>
      </c>
      <c r="C8" s="11" t="s">
        <v>13</v>
      </c>
      <c r="D8" s="11">
        <v>150</v>
      </c>
      <c r="E8" s="11">
        <v>100</v>
      </c>
      <c r="F8" s="12">
        <f t="shared" si="0"/>
        <v>50</v>
      </c>
    </row>
    <row r="9" spans="1:6" x14ac:dyDescent="0.35">
      <c r="A9" s="1"/>
      <c r="B9" s="1"/>
      <c r="C9" s="1"/>
    </row>
    <row r="10" spans="1:6" x14ac:dyDescent="0.35">
      <c r="A10" s="2" t="s">
        <v>15</v>
      </c>
      <c r="B10" s="4">
        <f>SUMIF(C:C,"Income",D:D)</f>
        <v>2300</v>
      </c>
      <c r="C10" s="1"/>
    </row>
    <row r="11" spans="1:6" x14ac:dyDescent="0.35">
      <c r="A11" s="2" t="s">
        <v>16</v>
      </c>
      <c r="B11" s="4">
        <f>SUMIF(C:C,"Expense",D:D)</f>
        <v>1220</v>
      </c>
      <c r="C11" s="1"/>
    </row>
    <row r="12" spans="1:6" x14ac:dyDescent="0.35">
      <c r="A12" s="2" t="s">
        <v>17</v>
      </c>
      <c r="B12" s="4">
        <f>B10-B11</f>
        <v>1080</v>
      </c>
      <c r="C12" s="1"/>
    </row>
    <row r="13" spans="1:6" x14ac:dyDescent="0.35">
      <c r="A13" s="1"/>
      <c r="B13" s="1"/>
      <c r="C13" s="1"/>
    </row>
    <row r="14" spans="1:6" x14ac:dyDescent="0.35">
      <c r="A14" t="s">
        <v>18</v>
      </c>
    </row>
    <row r="15" spans="1:6" x14ac:dyDescent="0.35">
      <c r="A15" t="s">
        <v>19</v>
      </c>
    </row>
    <row r="16" spans="1:6" x14ac:dyDescent="0.35">
      <c r="A16" t="s">
        <v>20</v>
      </c>
    </row>
    <row r="17" spans="1:1" x14ac:dyDescent="0.35">
      <c r="A17" t="s">
        <v>21</v>
      </c>
    </row>
  </sheetData>
  <conditionalFormatting sqref="F2:F8">
    <cfRule type="cellIs" dxfId="4" priority="1" operator="lessThan">
      <formula>15</formula>
    </cfRule>
    <cfRule type="cellIs" dxfId="3" priority="2" operator="greaterThan">
      <formula>15</formula>
    </cfRule>
    <cfRule type="cellIs" dxfId="2" priority="3" operator="greaterThan">
      <formula>15</formula>
    </cfRule>
    <cfRule type="cellIs" dxfId="1" priority="4" operator="lessThan">
      <formula>15</formula>
    </cfRule>
    <cfRule type="cellIs" dxfId="0" priority="5" operator="greaterThan">
      <formula>0</formula>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D1DCE-0A6B-413B-BC39-68CEB34BF657}">
  <dimension ref="A3:F19"/>
  <sheetViews>
    <sheetView tabSelected="1" zoomScale="94" zoomScaleNormal="94" workbookViewId="0">
      <selection activeCell="C21" sqref="C21"/>
    </sheetView>
  </sheetViews>
  <sheetFormatPr defaultRowHeight="14.5" x14ac:dyDescent="0.35"/>
  <cols>
    <col min="1" max="1" width="12.81640625" bestFit="1" customWidth="1"/>
    <col min="2" max="2" width="16.7265625" customWidth="1"/>
    <col min="3" max="3" width="17.90625" customWidth="1"/>
    <col min="4" max="4" width="14.7265625" customWidth="1"/>
    <col min="5" max="5" width="12.08984375" customWidth="1"/>
  </cols>
  <sheetData>
    <row r="3" spans="1:2" x14ac:dyDescent="0.35">
      <c r="A3" s="13" t="s">
        <v>3</v>
      </c>
      <c r="B3" t="s">
        <v>13</v>
      </c>
    </row>
    <row r="5" spans="1:2" x14ac:dyDescent="0.35">
      <c r="A5" s="13" t="s">
        <v>23</v>
      </c>
      <c r="B5" t="s">
        <v>22</v>
      </c>
    </row>
    <row r="6" spans="1:2" x14ac:dyDescent="0.35">
      <c r="A6" s="14" t="s">
        <v>9</v>
      </c>
      <c r="B6" s="15">
        <v>90</v>
      </c>
    </row>
    <row r="7" spans="1:2" x14ac:dyDescent="0.35">
      <c r="A7" s="14" t="s">
        <v>7</v>
      </c>
      <c r="B7" s="15">
        <v>120</v>
      </c>
    </row>
    <row r="8" spans="1:2" x14ac:dyDescent="0.35">
      <c r="A8" s="14" t="s">
        <v>6</v>
      </c>
      <c r="B8" s="15">
        <v>800</v>
      </c>
    </row>
    <row r="9" spans="1:2" x14ac:dyDescent="0.35">
      <c r="A9" s="14" t="s">
        <v>11</v>
      </c>
      <c r="B9" s="15">
        <v>150</v>
      </c>
    </row>
    <row r="10" spans="1:2" x14ac:dyDescent="0.35">
      <c r="A10" s="14" t="s">
        <v>8</v>
      </c>
      <c r="B10" s="15">
        <v>60</v>
      </c>
    </row>
    <row r="11" spans="1:2" x14ac:dyDescent="0.35">
      <c r="A11" s="14" t="s">
        <v>24</v>
      </c>
      <c r="B11" s="15">
        <v>1220</v>
      </c>
    </row>
    <row r="17" spans="1:6" ht="15" thickBot="1" x14ac:dyDescent="0.4"/>
    <row r="18" spans="1:6" ht="18.5" x14ac:dyDescent="0.45">
      <c r="A18" s="1"/>
      <c r="B18" s="16" t="s">
        <v>15</v>
      </c>
      <c r="C18" s="17" t="s">
        <v>16</v>
      </c>
      <c r="D18" s="17" t="s">
        <v>17</v>
      </c>
      <c r="E18" s="18" t="s">
        <v>25</v>
      </c>
      <c r="F18" s="1"/>
    </row>
    <row r="19" spans="1:6" ht="15" thickBot="1" x14ac:dyDescent="0.4">
      <c r="A19" s="1"/>
      <c r="B19" s="19">
        <f>Data!B10</f>
        <v>2300</v>
      </c>
      <c r="C19" s="20">
        <f>Data!B11</f>
        <v>1220</v>
      </c>
      <c r="D19" s="20">
        <f>Data!B12</f>
        <v>1080</v>
      </c>
      <c r="E19" s="21">
        <f>Dashboard!D19/Dashboard!B19</f>
        <v>0.46956521739130436</v>
      </c>
      <c r="F19" s="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Aanya Goel</dc:creator>
  <cp:lastModifiedBy>Aanya Goel</cp:lastModifiedBy>
  <dcterms:created xsi:type="dcterms:W3CDTF">2026-04-30T00:29:12Z</dcterms:created>
  <dcterms:modified xsi:type="dcterms:W3CDTF">2026-05-02T03:17:01Z</dcterms:modified>
</cp:coreProperties>
</file>